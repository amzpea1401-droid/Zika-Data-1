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Normal Distribution" sheetId="1" r:id="rId1"/>
  </sheets>
  <definedNames>
    <definedName name="_xlnm._FilterDatabase" localSheetId="0" hidden="1">'Normal Distribution'!$I$6:$I$20</definedName>
  </definedNames>
  <calcPr calcId="152511"/>
</workbook>
</file>

<file path=xl/calcChain.xml><?xml version="1.0" encoding="utf-8"?>
<calcChain xmlns="http://schemas.openxmlformats.org/spreadsheetml/2006/main">
  <c r="M11" i="1" l="1"/>
  <c r="G11" i="1"/>
  <c r="L11" i="1"/>
  <c r="L10" i="1"/>
  <c r="L9" i="1"/>
  <c r="L8" i="1"/>
  <c r="L7" i="1"/>
  <c r="L6" i="1"/>
  <c r="F11" i="1"/>
  <c r="F9" i="1"/>
  <c r="F10" i="1"/>
  <c r="F8" i="1"/>
  <c r="F7" i="1"/>
  <c r="F6" i="1"/>
</calcChain>
</file>

<file path=xl/sharedStrings.xml><?xml version="1.0" encoding="utf-8"?>
<sst xmlns="http://schemas.openxmlformats.org/spreadsheetml/2006/main" count="50" uniqueCount="25">
  <si>
    <t>Mean</t>
  </si>
  <si>
    <t>Std. Dev</t>
  </si>
  <si>
    <t>Observation 1</t>
  </si>
  <si>
    <t>Observation 2</t>
  </si>
  <si>
    <t>Observation 3</t>
  </si>
  <si>
    <t>Observation 4</t>
  </si>
  <si>
    <t>Observation 5</t>
  </si>
  <si>
    <t>Observation 6</t>
  </si>
  <si>
    <t>Observation 7</t>
  </si>
  <si>
    <t>Observation 8</t>
  </si>
  <si>
    <t>Observation 9</t>
  </si>
  <si>
    <t>Observation 10</t>
  </si>
  <si>
    <t>Observation 11</t>
  </si>
  <si>
    <t>Observation 12</t>
  </si>
  <si>
    <t>Observation 13</t>
  </si>
  <si>
    <t>Observation 14</t>
  </si>
  <si>
    <t>Observation 15</t>
  </si>
  <si>
    <t>Average</t>
  </si>
  <si>
    <t>Min</t>
  </si>
  <si>
    <t>Max</t>
  </si>
  <si>
    <t>Quartile 1</t>
  </si>
  <si>
    <t>Quartile 3</t>
  </si>
  <si>
    <t>Median</t>
  </si>
  <si>
    <t>Demand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</si>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</sst>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5"/>
  <sheetViews>
    <sheetView tabSelected="1" zoomScale="145" zoomScaleNormal="145" workbookViewId="0">
      <selection activeCell="M11" sqref="M11"/>
    </sheetView>
  </sheetViews>
  <sheetFormatPr defaultRowHeight="15" x14ac:dyDescent="0.25"/>
  <cols>
    <col min="2" max="2" width="14.7109375" customWidth="1"/>
    <col min="3" max="3" width="11.7109375" bestFit="1" customWidth="1"/>
    <col min="5" max="5" width="10" customWidth="1"/>
    <col min="6" max="6" width="9.5703125" bestFit="1" customWidth="1"/>
    <col min="8" max="8" width="14.42578125" bestFit="1" customWidth="1"/>
    <col min="9" max="9" width="10.7109375" customWidth="1"/>
  </cols>
  <sheetData>
    <row r="2" spans="2:13" x14ac:dyDescent="0.25">
      <c r="B2" t="s">
        <v>23</v>
      </c>
      <c r="C2" t="s">
        <v>24</v>
      </c>
      <c r="H2" t="s">
        <v>23</v>
      </c>
      <c r="I2" t="s">
        <v>24</v>
      </c>
    </row>
    <row r="3" spans="2:13" x14ac:dyDescent="0.25">
      <c r="B3" t="s">
        <v>0</v>
      </c>
      <c r="C3" s="1">
        <v>1500</v>
      </c>
      <c r="H3" t="s">
        <v>0</v>
      </c>
      <c r="I3" s="1">
        <v>1500</v>
      </c>
    </row>
    <row r="4" spans="2:13" x14ac:dyDescent="0.25">
      <c r="B4" t="s">
        <v>1</v>
      </c>
      <c r="C4" s="1">
        <v>300</v>
      </c>
      <c r="H4" t="s">
        <v>1</v>
      </c>
      <c r="I4" s="1">
        <v>150</v>
      </c>
    </row>
    <row r="6" spans="2:13" x14ac:dyDescent="0.25">
      <c r="B6" t="s">
        <v>2</v>
      </c>
      <c r="C6" s="1">
        <v>1389.2965322738746</v>
      </c>
      <c r="E6" t="s">
        <v>17</v>
      </c>
      <c r="F6" s="3">
        <f>AVERAGE(C6:C20)</f>
        <v>1605.6506107488531</v>
      </c>
      <c r="H6" t="s">
        <v>2</v>
      </c>
      <c r="I6" s="1">
        <v>1491.0730821284233</v>
      </c>
      <c r="K6" t="s">
        <v>17</v>
      </c>
      <c r="L6" s="3">
        <f>AVERAGE(I6:I20)</f>
        <v>1417.407160410221</v>
      </c>
    </row>
    <row r="7" spans="2:13" x14ac:dyDescent="0.25">
      <c r="B7" t="s">
        <v>3</v>
      </c>
      <c r="C7" s="1">
        <v>1873.4926394827198</v>
      </c>
      <c r="E7" t="s">
        <v>18</v>
      </c>
      <c r="F7" s="3">
        <f>MIN(C6:C20)</f>
        <v>799.78366708382964</v>
      </c>
      <c r="H7" t="s">
        <v>3</v>
      </c>
      <c r="I7" s="1">
        <v>1358.5059302058653</v>
      </c>
      <c r="K7" t="s">
        <v>18</v>
      </c>
      <c r="L7" s="3">
        <f>MIN(I6:I20)</f>
        <v>1193.865447625285</v>
      </c>
    </row>
    <row r="8" spans="2:13" x14ac:dyDescent="0.25">
      <c r="B8" t="s">
        <v>4</v>
      </c>
      <c r="C8" s="1">
        <v>1341.6756170627195</v>
      </c>
      <c r="E8" t="s">
        <v>19</v>
      </c>
      <c r="F8" s="3">
        <f>MAX(C6:C20)</f>
        <v>2170.0611265841872</v>
      </c>
      <c r="H8" t="s">
        <v>4</v>
      </c>
      <c r="I8" s="1">
        <v>1404.8151266833884</v>
      </c>
      <c r="K8" t="s">
        <v>19</v>
      </c>
      <c r="L8" s="3">
        <f>MAX(I6:I20)</f>
        <v>1585.054011833563</v>
      </c>
    </row>
    <row r="9" spans="2:13" x14ac:dyDescent="0.25">
      <c r="B9" t="s">
        <v>5</v>
      </c>
      <c r="C9" s="1">
        <v>1404.6101493149763</v>
      </c>
      <c r="E9" s="2" t="s">
        <v>20</v>
      </c>
      <c r="F9" s="1">
        <f>_xlfn.QUARTILE.EXC(C6:C20,1)</f>
        <v>1352.0029294013511</v>
      </c>
      <c r="H9" t="s">
        <v>5</v>
      </c>
      <c r="I9" s="1">
        <v>1466.0276444046758</v>
      </c>
      <c r="K9" s="2" t="s">
        <v>20</v>
      </c>
      <c r="L9" s="1">
        <f>_xlfn.QUARTILE.EXC(I6:I20,1)</f>
        <v>1346.0186816373607</v>
      </c>
    </row>
    <row r="10" spans="2:13" x14ac:dyDescent="0.25">
      <c r="B10" t="s">
        <v>6</v>
      </c>
      <c r="C10" s="1">
        <v>1685.8438736235257</v>
      </c>
      <c r="E10" s="2" t="s">
        <v>22</v>
      </c>
      <c r="F10" s="1">
        <f>_xlfn.QUARTILE.EXC(C6:C20,2)</f>
        <v>1530.8178869090625</v>
      </c>
      <c r="H10" t="s">
        <v>6</v>
      </c>
      <c r="I10" s="1">
        <v>1439.9900616481318</v>
      </c>
      <c r="K10" s="2" t="s">
        <v>22</v>
      </c>
      <c r="L10" s="1">
        <f>_xlfn.QUARTILE.EXC(I6:I20,2)</f>
        <v>1439.9900616481318</v>
      </c>
    </row>
    <row r="11" spans="2:13" x14ac:dyDescent="0.25">
      <c r="B11" t="s">
        <v>7</v>
      </c>
      <c r="C11" s="1">
        <v>799.78366708382964</v>
      </c>
      <c r="E11" s="2" t="s">
        <v>21</v>
      </c>
      <c r="F11" s="1">
        <f>_xlfn.QUARTILE.EXC(C6:C20,3)</f>
        <v>1918.3652890787926</v>
      </c>
      <c r="G11" s="3">
        <f>F11-F9</f>
        <v>566.36235967744142</v>
      </c>
      <c r="H11" t="s">
        <v>7</v>
      </c>
      <c r="I11" s="1">
        <v>1193.865447625285</v>
      </c>
      <c r="K11" s="2" t="s">
        <v>21</v>
      </c>
      <c r="L11" s="1">
        <f>_xlfn.QUARTILE.EXC(I6:I20,3)</f>
        <v>1491.0730821284233</v>
      </c>
      <c r="M11" s="3">
        <f>L11-L9</f>
        <v>145.05440049106255</v>
      </c>
    </row>
    <row r="12" spans="2:13" x14ac:dyDescent="0.25">
      <c r="B12" t="s">
        <v>8</v>
      </c>
      <c r="C12" s="1">
        <v>1352.0029294013511</v>
      </c>
      <c r="E12" s="2"/>
      <c r="H12" t="s">
        <v>8</v>
      </c>
      <c r="I12" s="1">
        <v>1389.2573103148607</v>
      </c>
      <c r="K12" s="2"/>
    </row>
    <row r="13" spans="2:13" x14ac:dyDescent="0.25">
      <c r="B13" t="s">
        <v>9</v>
      </c>
      <c r="C13" s="1">
        <v>2056.618942937348</v>
      </c>
      <c r="H13" t="s">
        <v>9</v>
      </c>
      <c r="I13" s="1">
        <v>1449.4843336833583</v>
      </c>
    </row>
    <row r="14" spans="2:13" x14ac:dyDescent="0.25">
      <c r="B14" t="s">
        <v>10</v>
      </c>
      <c r="C14" s="1">
        <v>1936.8685040390119</v>
      </c>
      <c r="H14" t="s">
        <v>10</v>
      </c>
      <c r="I14" s="1">
        <v>1585.054011833563</v>
      </c>
    </row>
    <row r="15" spans="2:13" x14ac:dyDescent="0.25">
      <c r="B15" t="s">
        <v>11</v>
      </c>
      <c r="C15" s="1">
        <v>1918.3652890787926</v>
      </c>
      <c r="H15" t="s">
        <v>11</v>
      </c>
      <c r="I15" s="1">
        <v>1584.6230818751792</v>
      </c>
    </row>
    <row r="16" spans="2:13" x14ac:dyDescent="0.25">
      <c r="B16" t="s">
        <v>12</v>
      </c>
      <c r="C16" s="1">
        <v>1817.5252913933946</v>
      </c>
      <c r="H16" t="s">
        <v>12</v>
      </c>
      <c r="I16" s="1">
        <v>1338.9280335686635</v>
      </c>
    </row>
    <row r="17" spans="2:9" x14ac:dyDescent="0.25">
      <c r="B17" t="s">
        <v>13</v>
      </c>
      <c r="C17" s="1">
        <v>1316.0708400973817</v>
      </c>
      <c r="H17" t="s">
        <v>13</v>
      </c>
      <c r="I17" s="1">
        <v>1485.6979684409453</v>
      </c>
    </row>
    <row r="18" spans="2:9" x14ac:dyDescent="0.25">
      <c r="B18" t="s">
        <v>14</v>
      </c>
      <c r="C18" s="1">
        <v>2170.0611265841872</v>
      </c>
      <c r="H18" t="s">
        <v>14</v>
      </c>
      <c r="I18" s="1">
        <v>1520.1469561034173</v>
      </c>
    </row>
    <row r="19" spans="2:9" x14ac:dyDescent="0.25">
      <c r="B19" t="s">
        <v>15</v>
      </c>
      <c r="C19" s="1">
        <v>1530.8178869090625</v>
      </c>
      <c r="H19" t="s">
        <v>15</v>
      </c>
      <c r="I19" s="1">
        <v>1207.619736000197</v>
      </c>
    </row>
    <row r="20" spans="2:9" x14ac:dyDescent="0.25">
      <c r="B20" t="s">
        <v>16</v>
      </c>
      <c r="C20" s="1">
        <v>1491.7258719506208</v>
      </c>
      <c r="H20" t="s">
        <v>16</v>
      </c>
      <c r="I20" s="1">
        <v>1346.0186816373607</v>
      </c>
    </row>
    <row r="21" spans="2:9" x14ac:dyDescent="0.25">
      <c r="C21" s="1"/>
      <c r="I21" s="1"/>
    </row>
    <row r="22" spans="2:9" x14ac:dyDescent="0.25">
      <c r="C22" s="1"/>
      <c r="I22" s="1"/>
    </row>
    <row r="23" spans="2:9" x14ac:dyDescent="0.25">
      <c r="C23" s="1"/>
      <c r="I23" s="1"/>
    </row>
    <row r="24" spans="2:9" x14ac:dyDescent="0.25">
      <c r="C24" s="1"/>
      <c r="I24" s="1"/>
    </row>
    <row r="25" spans="2:9" x14ac:dyDescent="0.25">
      <c r="C25" s="1"/>
      <c r="I25" s="1"/>
    </row>
  </sheetData>
  <sortState ref="J6:J20">
    <sortCondition ref="J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Distribution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2017-04-28T13:51:36Z</dcterms:modified>
</cp:coreProperties>
</file>